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n/Desktop/REASON/acfrs_data_progress_tracking_dashboard/data/"/>
    </mc:Choice>
  </mc:AlternateContent>
  <xr:revisionPtr revIDLastSave="0" documentId="13_ncr:1_{EA2EDBA3-EF83-604E-84BC-6A9306C871BB}" xr6:coauthVersionLast="47" xr6:coauthVersionMax="47" xr10:uidLastSave="{00000000-0000-0000-0000-000000000000}"/>
  <bookViews>
    <workbookView xWindow="7720" yWindow="2180" windowWidth="37080" windowHeight="19880" xr2:uid="{B51F2319-3484-7B4C-853A-FD166713B4AD}"/>
  </bookViews>
  <sheets>
    <sheet name="collect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12" i="1"/>
  <c r="F8" i="1"/>
  <c r="F16" i="1"/>
  <c r="J16" i="1" l="1"/>
  <c r="I16" i="1"/>
  <c r="G16" i="1"/>
  <c r="J8" i="1"/>
  <c r="I8" i="1"/>
  <c r="G8" i="1"/>
  <c r="J12" i="1"/>
  <c r="I12" i="1"/>
  <c r="G12" i="1"/>
  <c r="G4" i="1"/>
  <c r="J17" i="1"/>
  <c r="J13" i="1"/>
  <c r="I5" i="1"/>
  <c r="J9" i="1"/>
  <c r="I14" i="1"/>
  <c r="G17" i="1"/>
  <c r="F17" i="1"/>
  <c r="J14" i="1"/>
  <c r="J15" i="1"/>
  <c r="G14" i="1"/>
  <c r="G15" i="1"/>
  <c r="I15" i="1"/>
  <c r="F14" i="1"/>
  <c r="F15" i="1"/>
  <c r="I4" i="1"/>
  <c r="I6" i="1"/>
  <c r="I7" i="1"/>
  <c r="I10" i="1"/>
  <c r="I11" i="1"/>
  <c r="I2" i="1"/>
  <c r="F3" i="1"/>
  <c r="F5" i="1"/>
  <c r="F6" i="1"/>
  <c r="F7" i="1"/>
  <c r="F9" i="1"/>
  <c r="F10" i="1"/>
  <c r="F11" i="1"/>
  <c r="F13" i="1"/>
  <c r="F2" i="1"/>
  <c r="G3" i="1"/>
  <c r="G5" i="1"/>
  <c r="G6" i="1"/>
  <c r="G7" i="1"/>
  <c r="G9" i="1"/>
  <c r="G10" i="1"/>
  <c r="G11" i="1"/>
  <c r="G13" i="1"/>
  <c r="G2" i="1"/>
  <c r="J11" i="1"/>
  <c r="J7" i="1"/>
  <c r="J3" i="1"/>
  <c r="J2" i="1"/>
  <c r="J4" i="1"/>
  <c r="J6" i="1"/>
  <c r="J10" i="1"/>
  <c r="I9" i="1" l="1"/>
  <c r="J5" i="1"/>
  <c r="I17" i="1"/>
  <c r="I13" i="1"/>
  <c r="I3" i="1"/>
</calcChain>
</file>

<file path=xl/sharedStrings.xml><?xml version="1.0" encoding="utf-8"?>
<sst xmlns="http://schemas.openxmlformats.org/spreadsheetml/2006/main" count="26" uniqueCount="14">
  <si>
    <t>state</t>
  </si>
  <si>
    <t>county</t>
  </si>
  <si>
    <t>pct_population_collected</t>
  </si>
  <si>
    <t>pct_count_collected</t>
  </si>
  <si>
    <t>Collected_Population</t>
  </si>
  <si>
    <t>Remaining_Population</t>
  </si>
  <si>
    <t>Year</t>
  </si>
  <si>
    <t>Collected_Count</t>
  </si>
  <si>
    <t>Remaining_Count</t>
  </si>
  <si>
    <t>school</t>
  </si>
  <si>
    <t>Universal_Count</t>
  </si>
  <si>
    <t>Universal_Population</t>
  </si>
  <si>
    <t>category</t>
  </si>
  <si>
    <t>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</si>
</sst>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5"/>
      <name val="Monaco"/>
      <family val="3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738DF-288A-B045-B1EA-9416E18CEA9B}">
  <dimension ref="A1:J17"/>
  <sheetViews>
    <sheetView tabSelected="1" zoomScale="200" zoomScaleNormal="200" workbookViewId="0">
      <pane ySplit="1" topLeftCell="A2" activePane="bottomLeft" state="frozen"/>
      <selection activeCell="E1" sqref="E1"/>
      <selection pane="bottomLeft" activeCell="G19" sqref="G19"/>
    </sheetView>
  </sheetViews>
  <sheetFormatPr baseColWidth="10" defaultRowHeight="16" x14ac:dyDescent="0.2"/>
  <cols>
    <col min="1" max="1" width="10.83203125" style="3"/>
    <col min="2" max="2" width="18.83203125" style="3" customWidth="1"/>
    <col min="3" max="3" width="16.33203125" style="3" customWidth="1"/>
    <col min="4" max="4" width="14.5" style="3" customWidth="1"/>
    <col min="5" max="5" width="12.1640625" style="3" customWidth="1"/>
    <col min="6" max="6" width="11" style="3" customWidth="1"/>
    <col min="7" max="7" width="15.6640625" style="3" customWidth="1"/>
    <col min="8" max="8" width="18.6640625" style="3" customWidth="1"/>
    <col min="9" max="9" width="13.33203125" style="3" customWidth="1"/>
    <col min="10" max="10" width="15.1640625" style="3" customWidth="1"/>
    <col min="11" max="16384" width="10.83203125" style="3"/>
  </cols>
  <sheetData>
    <row r="1" spans="1:10" x14ac:dyDescent="0.2">
      <c r="A1" s="3" t="s">
        <v>6</v>
      </c>
      <c r="B1" s="3" t="s">
        <v>12</v>
      </c>
      <c r="C1" s="3" t="s">
        <v>10</v>
      </c>
      <c r="D1" s="3" t="s">
        <v>11</v>
      </c>
      <c r="E1" s="3" t="s">
        <v>7</v>
      </c>
      <c r="F1" s="3" t="s">
        <v>8</v>
      </c>
      <c r="G1" s="3" t="s">
        <v>3</v>
      </c>
      <c r="H1" s="3" t="s">
        <v>4</v>
      </c>
      <c r="I1" s="3" t="s">
        <v>5</v>
      </c>
      <c r="J1" s="3" t="s">
        <v>2</v>
      </c>
    </row>
    <row r="2" spans="1:10" x14ac:dyDescent="0.2">
      <c r="A2" s="3">
        <v>2020</v>
      </c>
      <c r="B2" s="3" t="s">
        <v>0</v>
      </c>
      <c r="C2" s="3">
        <v>50</v>
      </c>
      <c r="D2" s="3">
        <v>331449520</v>
      </c>
      <c r="E2" s="3">
        <v>50</v>
      </c>
      <c r="F2" s="3">
        <f>C2-E2</f>
        <v>0</v>
      </c>
      <c r="G2" s="3">
        <f>E2/C2</f>
        <v>1</v>
      </c>
      <c r="H2" s="3">
        <v>331449520</v>
      </c>
      <c r="I2" s="3">
        <f>D2-H2</f>
        <v>0</v>
      </c>
      <c r="J2" s="3">
        <f t="shared" ref="J2:J17" si="0">H2/D2</f>
        <v>1</v>
      </c>
    </row>
    <row r="3" spans="1:10" s="5" customFormat="1" x14ac:dyDescent="0.2">
      <c r="A3" s="5">
        <v>2020</v>
      </c>
      <c r="B3" s="5" t="s">
        <v>1</v>
      </c>
      <c r="C3" s="5">
        <v>3144</v>
      </c>
      <c r="D3" s="5">
        <v>331449520</v>
      </c>
      <c r="E3" s="5">
        <v>2672</v>
      </c>
      <c r="F3" s="5">
        <f t="shared" ref="F3:F17" si="1">C3-E3</f>
        <v>472</v>
      </c>
      <c r="G3" s="5">
        <f t="shared" ref="G3:G17" si="2">E3/C3</f>
        <v>0.84987277353689572</v>
      </c>
      <c r="H3" s="5">
        <v>296286605</v>
      </c>
      <c r="I3" s="5">
        <f t="shared" ref="I3:I17" si="3">D3-H3</f>
        <v>35162915</v>
      </c>
      <c r="J3" s="5">
        <f t="shared" si="0"/>
        <v>0.89391170335681891</v>
      </c>
    </row>
    <row r="4" spans="1:10" s="7" customFormat="1" x14ac:dyDescent="0.2">
      <c r="A4" s="7">
        <v>2020</v>
      </c>
      <c r="B4" s="7" t="s">
        <v>13</v>
      </c>
      <c r="C4" s="7">
        <v>19487</v>
      </c>
      <c r="D4" s="7">
        <v>208024110</v>
      </c>
      <c r="E4" s="7">
        <v>9189</v>
      </c>
      <c r="F4" s="7">
        <f>C4-E4</f>
        <v>10298</v>
      </c>
      <c r="G4" s="7">
        <f>E4/C4</f>
        <v>0.47154513265253761</v>
      </c>
      <c r="H4" s="7">
        <v>173613952</v>
      </c>
      <c r="I4" s="7">
        <f t="shared" si="3"/>
        <v>34410158</v>
      </c>
      <c r="J4" s="7">
        <f t="shared" si="0"/>
        <v>0.834585721818495</v>
      </c>
    </row>
    <row r="5" spans="1:10" s="4" customFormat="1" ht="20" x14ac:dyDescent="0.25">
      <c r="A5" s="4">
        <v>2020</v>
      </c>
      <c r="B5" s="4" t="s">
        <v>9</v>
      </c>
      <c r="C5" s="4">
        <v>14290</v>
      </c>
      <c r="D5" s="4">
        <v>48203463</v>
      </c>
      <c r="E5" s="4">
        <v>9579</v>
      </c>
      <c r="F5" s="3">
        <f t="shared" si="1"/>
        <v>4711</v>
      </c>
      <c r="G5" s="4">
        <f t="shared" si="2"/>
        <v>0.6703289013296011</v>
      </c>
      <c r="H5" s="1">
        <v>41995943</v>
      </c>
      <c r="I5" s="3">
        <f t="shared" si="3"/>
        <v>6207520</v>
      </c>
      <c r="J5" s="4">
        <f t="shared" si="0"/>
        <v>0.87122253021530838</v>
      </c>
    </row>
    <row r="6" spans="1:10" x14ac:dyDescent="0.2">
      <c r="A6" s="3">
        <v>2021</v>
      </c>
      <c r="B6" s="3" t="s">
        <v>0</v>
      </c>
      <c r="C6" s="3">
        <v>50</v>
      </c>
      <c r="D6" s="3">
        <v>331449520</v>
      </c>
      <c r="E6" s="3">
        <v>50</v>
      </c>
      <c r="F6" s="3">
        <f t="shared" si="1"/>
        <v>0</v>
      </c>
      <c r="G6" s="3">
        <f t="shared" si="2"/>
        <v>1</v>
      </c>
      <c r="H6" s="3">
        <v>331449520</v>
      </c>
      <c r="I6" s="3">
        <f t="shared" si="3"/>
        <v>0</v>
      </c>
      <c r="J6" s="3">
        <f t="shared" si="0"/>
        <v>1</v>
      </c>
    </row>
    <row r="7" spans="1:10" s="5" customFormat="1" x14ac:dyDescent="0.2">
      <c r="A7" s="5">
        <v>2021</v>
      </c>
      <c r="B7" s="5" t="s">
        <v>1</v>
      </c>
      <c r="C7" s="5">
        <v>3144</v>
      </c>
      <c r="D7" s="5">
        <v>331449520</v>
      </c>
      <c r="E7" s="5">
        <v>2648</v>
      </c>
      <c r="F7" s="5">
        <f t="shared" si="1"/>
        <v>496</v>
      </c>
      <c r="G7" s="5">
        <f t="shared" si="2"/>
        <v>0.84223918575063617</v>
      </c>
      <c r="H7" s="5">
        <v>296837241</v>
      </c>
      <c r="I7" s="5">
        <f t="shared" si="3"/>
        <v>34612279</v>
      </c>
      <c r="J7" s="5">
        <f t="shared" si="0"/>
        <v>0.89557300007554697</v>
      </c>
    </row>
    <row r="8" spans="1:10" s="7" customFormat="1" x14ac:dyDescent="0.2">
      <c r="A8" s="7">
        <v>2021</v>
      </c>
      <c r="B8" s="7" t="s">
        <v>13</v>
      </c>
      <c r="C8" s="7">
        <v>19487</v>
      </c>
      <c r="D8" s="7">
        <v>208024110</v>
      </c>
      <c r="E8" s="7">
        <v>10382</v>
      </c>
      <c r="F8" s="7">
        <f>C8-E8</f>
        <v>9105</v>
      </c>
      <c r="G8" s="7">
        <f>E8/C8</f>
        <v>0.5327654333658336</v>
      </c>
      <c r="H8" s="7">
        <v>176363778</v>
      </c>
      <c r="I8" s="7">
        <f t="shared" ref="I8" si="4">D8-H8</f>
        <v>31660332</v>
      </c>
      <c r="J8" s="7">
        <f t="shared" ref="J8" si="5">H8/D8</f>
        <v>0.84780450689105225</v>
      </c>
    </row>
    <row r="9" spans="1:10" s="4" customFormat="1" ht="20" x14ac:dyDescent="0.25">
      <c r="A9" s="4">
        <v>2021</v>
      </c>
      <c r="B9" s="4" t="s">
        <v>9</v>
      </c>
      <c r="C9" s="4">
        <v>14290</v>
      </c>
      <c r="D9" s="4">
        <v>46602246</v>
      </c>
      <c r="E9" s="4">
        <v>10475</v>
      </c>
      <c r="F9" s="3">
        <f t="shared" si="1"/>
        <v>3815</v>
      </c>
      <c r="G9" s="4">
        <f t="shared" si="2"/>
        <v>0.73303009097270821</v>
      </c>
      <c r="H9" s="1">
        <v>42762818</v>
      </c>
      <c r="I9" s="3">
        <f t="shared" si="3"/>
        <v>3839428</v>
      </c>
      <c r="J9" s="4">
        <f t="shared" si="0"/>
        <v>0.91761281205201994</v>
      </c>
    </row>
    <row r="10" spans="1:10" x14ac:dyDescent="0.2">
      <c r="A10" s="3">
        <v>2022</v>
      </c>
      <c r="B10" s="3" t="s">
        <v>0</v>
      </c>
      <c r="C10" s="3">
        <v>50</v>
      </c>
      <c r="D10" s="3">
        <v>331449520</v>
      </c>
      <c r="E10" s="3">
        <v>50</v>
      </c>
      <c r="F10" s="3">
        <f t="shared" si="1"/>
        <v>0</v>
      </c>
      <c r="G10" s="3">
        <f t="shared" si="2"/>
        <v>1</v>
      </c>
      <c r="H10" s="3">
        <v>331449520</v>
      </c>
      <c r="I10" s="3">
        <f t="shared" si="3"/>
        <v>0</v>
      </c>
      <c r="J10" s="3">
        <f t="shared" si="0"/>
        <v>1</v>
      </c>
    </row>
    <row r="11" spans="1:10" s="5" customFormat="1" x14ac:dyDescent="0.2">
      <c r="A11" s="5">
        <v>2022</v>
      </c>
      <c r="B11" s="5" t="s">
        <v>1</v>
      </c>
      <c r="C11" s="5">
        <v>3144</v>
      </c>
      <c r="D11" s="5">
        <v>331449520</v>
      </c>
      <c r="E11" s="5">
        <v>2502</v>
      </c>
      <c r="F11" s="5">
        <f t="shared" si="1"/>
        <v>642</v>
      </c>
      <c r="G11" s="5">
        <f t="shared" si="2"/>
        <v>0.79580152671755722</v>
      </c>
      <c r="H11" s="5">
        <v>294027546</v>
      </c>
      <c r="I11" s="5">
        <f t="shared" si="3"/>
        <v>37421974</v>
      </c>
      <c r="J11" s="5">
        <f t="shared" si="0"/>
        <v>0.8870960078626754</v>
      </c>
    </row>
    <row r="12" spans="1:10" s="7" customFormat="1" x14ac:dyDescent="0.2">
      <c r="A12" s="7">
        <v>2022</v>
      </c>
      <c r="B12" s="7" t="s">
        <v>13</v>
      </c>
      <c r="C12" s="7">
        <v>19487</v>
      </c>
      <c r="D12" s="7">
        <v>208024110</v>
      </c>
      <c r="E12" s="7">
        <v>9697</v>
      </c>
      <c r="F12" s="7">
        <f>C12-E12</f>
        <v>9790</v>
      </c>
      <c r="G12" s="7">
        <f>E12/C12</f>
        <v>0.49761379381125881</v>
      </c>
      <c r="H12" s="7">
        <v>175983944</v>
      </c>
      <c r="I12" s="7">
        <f t="shared" ref="I12" si="6">D12-H12</f>
        <v>32040166</v>
      </c>
      <c r="J12" s="7">
        <f t="shared" ref="J12" si="7">H12/D12</f>
        <v>0.8459785935389893</v>
      </c>
    </row>
    <row r="13" spans="1:10" s="4" customFormat="1" ht="20" x14ac:dyDescent="0.25">
      <c r="A13" s="4">
        <v>2022</v>
      </c>
      <c r="B13" s="4" t="s">
        <v>9</v>
      </c>
      <c r="C13" s="4">
        <v>14290</v>
      </c>
      <c r="D13" s="4">
        <v>46628237</v>
      </c>
      <c r="E13" s="4">
        <v>10833</v>
      </c>
      <c r="F13" s="3">
        <f t="shared" si="1"/>
        <v>3457</v>
      </c>
      <c r="G13" s="4">
        <f t="shared" si="2"/>
        <v>0.75808257522743172</v>
      </c>
      <c r="H13" s="1">
        <v>42596658</v>
      </c>
      <c r="I13" s="3">
        <f t="shared" si="3"/>
        <v>4031579</v>
      </c>
      <c r="J13" s="4">
        <f t="shared" si="0"/>
        <v>0.91353782044129184</v>
      </c>
    </row>
    <row r="14" spans="1:10" ht="20" x14ac:dyDescent="0.25">
      <c r="A14" s="3">
        <v>2023</v>
      </c>
      <c r="B14" s="3" t="s">
        <v>0</v>
      </c>
      <c r="C14" s="3">
        <v>50</v>
      </c>
      <c r="D14" s="3">
        <v>331449520</v>
      </c>
      <c r="E14" s="3">
        <v>49</v>
      </c>
      <c r="F14" s="3">
        <f t="shared" si="1"/>
        <v>1</v>
      </c>
      <c r="G14" s="3">
        <f t="shared" si="2"/>
        <v>0.98</v>
      </c>
      <c r="H14" s="2">
        <v>314842805</v>
      </c>
      <c r="I14" s="3">
        <f t="shared" si="3"/>
        <v>16606715</v>
      </c>
      <c r="J14" s="3">
        <f t="shared" si="0"/>
        <v>0.94989669920173669</v>
      </c>
    </row>
    <row r="15" spans="1:10" s="5" customFormat="1" ht="20" x14ac:dyDescent="0.25">
      <c r="A15" s="5">
        <v>2023</v>
      </c>
      <c r="B15" s="5" t="s">
        <v>1</v>
      </c>
      <c r="C15" s="5">
        <v>3144</v>
      </c>
      <c r="D15" s="5">
        <v>331449520</v>
      </c>
      <c r="E15" s="5">
        <v>2295</v>
      </c>
      <c r="F15" s="5">
        <f t="shared" si="1"/>
        <v>849</v>
      </c>
      <c r="G15" s="5">
        <f t="shared" si="2"/>
        <v>0.72996183206106868</v>
      </c>
      <c r="H15" s="6">
        <v>290823478</v>
      </c>
      <c r="I15" s="5">
        <f>D15-H15</f>
        <v>40626042</v>
      </c>
      <c r="J15" s="5">
        <f>H15/D15</f>
        <v>0.87742917232162532</v>
      </c>
    </row>
    <row r="16" spans="1:10" s="7" customFormat="1" x14ac:dyDescent="0.2">
      <c r="A16" s="7">
        <v>2023</v>
      </c>
      <c r="B16" s="7" t="s">
        <v>13</v>
      </c>
      <c r="C16" s="7">
        <v>19616</v>
      </c>
      <c r="D16" s="7">
        <v>214891199</v>
      </c>
      <c r="E16" s="7">
        <v>8630</v>
      </c>
      <c r="F16" s="7">
        <f>C16-E16</f>
        <v>10986</v>
      </c>
      <c r="G16" s="7">
        <f>E16/C16</f>
        <v>0.43994698205546495</v>
      </c>
      <c r="H16" s="7">
        <v>210259491</v>
      </c>
      <c r="I16" s="7">
        <f t="shared" ref="I16" si="8">D16-H16</f>
        <v>4631708</v>
      </c>
      <c r="J16" s="7">
        <f t="shared" ref="J16" si="9">H16/D16</f>
        <v>0.97844626480026298</v>
      </c>
    </row>
    <row r="17" spans="1:10" ht="20" x14ac:dyDescent="0.25">
      <c r="A17" s="3">
        <v>2023</v>
      </c>
      <c r="B17" s="4" t="s">
        <v>9</v>
      </c>
      <c r="C17" s="3">
        <v>15049</v>
      </c>
      <c r="D17" s="4">
        <v>46734437</v>
      </c>
      <c r="E17" s="3">
        <v>10408</v>
      </c>
      <c r="F17" s="3">
        <f t="shared" si="1"/>
        <v>4641</v>
      </c>
      <c r="G17" s="3">
        <f t="shared" si="2"/>
        <v>0.69160741577513452</v>
      </c>
      <c r="H17" s="2">
        <v>42612454</v>
      </c>
      <c r="I17" s="3">
        <f t="shared" si="3"/>
        <v>4121983</v>
      </c>
      <c r="J17" s="3">
        <f t="shared" si="0"/>
        <v>0.91179987896291548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 Nguyen</dc:creator>
  <cp:lastModifiedBy>Thuy Nguyen</cp:lastModifiedBy>
  <dcterms:created xsi:type="dcterms:W3CDTF">2024-06-24T13:45:37Z</dcterms:created>
  <dcterms:modified xsi:type="dcterms:W3CDTF">2025-10-17T12:20:06Z</dcterms:modified>
</cp:coreProperties>
</file>